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7b4e7ca72448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0305b0bbf14e18"/>
    <x:sheet xmlns:r="http://schemas.openxmlformats.org/officeDocument/2006/relationships" name="BOM Rev C" sheetId="2" r:id="R438daa90aa3045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17212B"/>
      <x:name val="Carlito"/>
    </x:font>
    <x:font>
      <x:b/>
      <x:sz val="18"/>
      <x:color rgb="FFADFF5B"/>
      <x:name val="Carlito"/>
    </x:font>
    <x:font>
      <x:b/>
      <x:sz val="11"/>
      <x:color rgb="FF17324D"/>
      <x:name val="Carlito"/>
    </x:font>
    <x:font>
      <x:b/>
      <x:sz val="11"/>
      <x:color rgb="FF0F5C52"/>
      <x:name val="Carlito"/>
    </x:font>
    <x:font>
      <x:i/>
      <x:sz val="11"/>
      <x:color rgb="FF52627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B1F33"/>
      </x:patternFill>
    </x:fill>
    <x:fill>
      <x:patternFill patternType="solid">
        <x:fgColor rgb="FFE9F0F6"/>
      </x:patternFill>
    </x:fill>
    <x:fill>
      <x:patternFill patternType="solid">
        <x:fgColor rgb="FFF1F5F9"/>
      </x:patternFill>
    </x:fill>
  </x:fills>
  <x:borders count="11">
    <x:border/>
    <x:border>
      <x:bottom style="thin">
        <x:color rgb="FFD8E0E8"/>
      </x:bottom>
    </x:border>
    <x:border>
      <x:top style="thin">
        <x:color rgb="FFD8E0E8"/>
      </x:top>
      <x:bottom style="thin">
        <x:color rgb="FFD8E0E8"/>
      </x:bottom>
    </x:border>
    <x:border>
      <x:top style="thin">
        <x:color rgb="FFD8E0E8"/>
      </x:top>
      <x:bottom style="thin">
        <x:color rgb="FFAAB7C4"/>
      </x:bottom>
    </x:border>
    <x:border>
      <x:left style="thin">
        <x:color rgb="FF9BAAB8"/>
      </x:left>
      <x:top style="thin">
        <x:color rgb="FF9BAAB8"/>
      </x:top>
    </x:border>
    <x:border>
      <x:right style="thin">
        <x:color rgb="FF9BAAB8"/>
      </x:right>
      <x:top style="thin">
        <x:color rgb="FF9BAAB8"/>
      </x:top>
    </x:border>
    <x:border>
      <x:left style="thin">
        <x:color rgb="FF9BAAB8"/>
      </x:left>
    </x:border>
    <x:border>
      <x:right style="thin">
        <x:color rgb="FF9BAAB8"/>
      </x:right>
    </x:border>
    <x:border>
      <x:left style="thin">
        <x:color rgb="FF9BAAB8"/>
      </x:left>
      <x:bottom style="thin">
        <x:color rgb="FF9BAAB8"/>
      </x:bottom>
    </x:border>
    <x:border>
      <x:right style="thin">
        <x:color rgb="FF9BAAB8"/>
      </x:right>
      <x:bottom style="thin">
        <x:color rgb="FF9BAAB8"/>
      </x:bottom>
    </x:border>
    <x:border>
      <x:top style="thin">
        <x:color rgb="FFD8E0E8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4" fillId="4" borderId="6" xfId="0" applyNumberFormat="1" applyFont="1" applyFill="1" applyBorder="1"/>
    <x:xf numFmtId="0" fontId="0" fillId="0" borderId="7" xfId="0" applyNumberFormat="1" applyFont="1" applyFill="1" applyBorder="1"/>
    <x:xf numFmtId="0" fontId="4" fillId="4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7" xfId="0" applyNumberFormat="1" applyFont="1" applyFill="1" applyBorder="1"/>
    <x:xf numFmtId="0" fontId="5" fillId="0" borderId="7" xfId="0" applyNumberFormat="1" applyFont="1" applyFill="1" applyBorder="1"/>
    <x:xf numFmtId="200" fontId="5" fillId="0" borderId="7" xfId="0" applyNumberFormat="1" applyFont="1" applyFill="1" applyBorder="1"/>
    <x:xf numFmtId="0" fontId="5" fillId="0" borderId="9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78350F"/>
      </x:font>
      <x:fill>
        <x:patternFill patternType="solid">
          <x:bgColor rgb="FF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ae630174334f59" /><Relationship Type="http://schemas.openxmlformats.org/officeDocument/2006/relationships/theme" Target="/xl/theme/theme1.xml" Id="R297b9c42bdb849a9" /><Relationship Type="http://schemas.openxmlformats.org/officeDocument/2006/relationships/sharedStrings" Target="/xl/sharedStrings.xml" Id="Rf26bda2176c14e1d" /><Relationship Type="http://schemas.openxmlformats.org/officeDocument/2006/relationships/worksheet" Target="/xl/worksheets/sheet1.xml" Id="Ra60305b0bbf14e18" /><Relationship Type="http://schemas.openxmlformats.org/officeDocument/2006/relationships/worksheet" Target="/xl/worksheets/sheet2.xml" Id="R438daa90aa30452f" /></Relationships>
</file>

<file path=xl/tables/table1.xml><?xml version="1.0" encoding="utf-8"?>
<x:table xmlns:x="http://schemas.openxmlformats.org/spreadsheetml/2006/main" id="1" name="RoverAlphaBomTable" displayName="RoverAlphaBomTable" ref="A1:N31" headerRowCount="1" totalsRowCount="0" totalsRowShown="0">
  <x:autoFilter ref="A1:N31"/>
  <x:tableColumns count="14">
    <x:tableColumn id="1" name="Line"/>
    <x:tableColumn id="2" name="Part Number"/>
    <x:tableColumn id="3" name="Description"/>
    <x:tableColumn id="4" name="Manufacturer"/>
    <x:tableColumn id="5" name="Manufacturer Part Number"/>
    <x:tableColumn id="6" name="Qty"/>
    <x:tableColumn id="7" name="Revision"/>
    <x:tableColumn id="8" name="Unit Cost (USD)"/>
    <x:tableColumn id="9" name="Supplier"/>
    <x:tableColumn id="10" name="Stock"/>
    <x:tableColumn id="11" name="Lead Time (days)"/>
    <x:tableColumn id="12" name="Lifecycle State"/>
    <x:tableColumn id="13" name="Artifact ID"/>
    <x:tableColumn id="14" name="Extended Cos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696843198345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4" hidden="0" customWidth="1"/>
    <x:col min="4" max="4" width="18" hidden="0" customWidth="1"/>
    <x:col min="5" max="5" width="22" hidden="0" customWidth="1"/>
    <x:col min="6" max="6" width="20" hidden="0" customWidth="1"/>
  </x:cols>
  <x:sheetData>
    <x:row r="1" ht="38" customHeight="1">
      <x:c r="A1" s="18" t="str">
        <x:v>Rover-alpha Rev C — Synthetic BOM Summary</x:v>
      </x:c>
      <x:c r="B1" s="18"/>
      <x:c r="C1" s="18"/>
      <x:c r="D1" s="18"/>
      <x:c r="E1" s="18"/>
      <x:c r="F1" s="18"/>
    </x:row>
    <x:row r="3">
      <x:c r="A3" s="21" t="str">
        <x:v>Metric</x:v>
      </x:c>
      <x:c r="B3" s="22" t="str">
        <x:v>Value</x:v>
      </x:c>
      <x:c r="D3" s="2" t="str">
        <x:v>Cross-domain anchors</x:v>
      </x:c>
      <x:c r="E3" s="2"/>
      <x:c r="F3" s="2"/>
    </x:row>
    <x:row r="4">
      <x:c r="A4" s="23" t="str">
        <x:v>Unique line items</x:v>
      </x:c>
      <x:c r="B4" s="28" t="n">
        <x:f>COUNTA('BOM Rev C'!B2:B31)</x:f>
        <x:v>30</x:v>
      </x:c>
      <x:c r="D4" s="31" t="str">
        <x:v>J12</x:v>
      </x:c>
      <x:c r="E4" s="31" t="str">
        <x:v>43025-0400</x:v>
      </x:c>
      <x:c r="F4" s="31" t="str">
        <x:v>BOM line 27</x:v>
      </x:c>
    </x:row>
    <x:row r="5">
      <x:c r="A5" s="23" t="str">
        <x:v>Assembly material cost</x:v>
      </x:c>
      <x:c r="B5" s="29" t="n">
        <x:f>SUM('BOM Rev C'!N2:N31)</x:f>
        <x:v>2633.8199999999997</x:v>
      </x:c>
      <x:c r="D5" s="32" t="str">
        <x:v>Motor</x:v>
      </x:c>
      <x:c r="E5" s="32" t="str">
        <x:v>MTR-24-220</x:v>
      </x:c>
      <x:c r="F5" s="32" t="str">
        <x:v>BOM line 18</x:v>
      </x:c>
    </x:row>
    <x:row r="6">
      <x:c r="A6" s="23" t="str">
        <x:v>Items with stock ≤ 10</x:v>
      </x:c>
      <x:c r="B6" s="28" t="n">
        <x:f>COUNTIF('BOM Rev C'!J2:J31,"&lt;=10")</x:f>
        <x:v>1</x:v>
      </x:c>
      <x:c r="D6" s="32" t="str">
        <x:v>Motor driver</x:v>
      </x:c>
      <x:c r="E6" s="32" t="str">
        <x:v>DRV-8A</x:v>
      </x:c>
      <x:c r="F6" s="32" t="str">
        <x:v>BOM line 22</x:v>
      </x:c>
    </x:row>
    <x:row r="7">
      <x:c r="A7" s="25" t="str">
        <x:v>Maximum lead time</x:v>
      </x:c>
      <x:c r="B7" s="30" t="n">
        <x:f>MAX('BOM Rev C'!K2:K31)</x:f>
        <x:v>84</x:v>
      </x:c>
      <x:c r="D7" s="32" t="str">
        <x:v>Camera</x:v>
      </x:c>
      <x:c r="E7" s="32" t="str">
        <x:v>CM-4K-R2</x:v>
      </x:c>
      <x:c r="F7" s="32" t="str">
        <x:v>BOM line 09</x:v>
      </x:c>
    </x:row>
    <x:row r="8">
      <x:c r="D8" s="33" t="str">
        <x:v>Battery</x:v>
      </x:c>
      <x:c r="E8" s="33" t="str">
        <x:v>BAT-24-12</x:v>
      </x:c>
      <x:c r="F8" s="33" t="str">
        <x:v>BOM line 04</x:v>
      </x:c>
    </x:row>
    <x:row r="10">
      <x:c r="A10" s="37" t="str">
        <x:v>All prices, suppliers, inventory, and lifecycle values are synthetic demo data.</x:v>
      </x:c>
      <x:c r="B10" s="37"/>
      <x:c r="C10" s="37"/>
      <x:c r="D10" s="37"/>
      <x:c r="E10" s="37"/>
      <x:c r="F10" s="37"/>
    </x:row>
    <x:row r="11">
      <x:c r="A11" s="37"/>
      <x:c r="B11" s="37"/>
      <x:c r="C11" s="37"/>
      <x:c r="D11" s="37"/>
      <x:c r="E11" s="37"/>
      <x:c r="F11" s="37"/>
    </x:row>
  </x:sheetData>
  <x:mergeCells>
    <x:mergeCell ref="A1:F1"/>
    <x:mergeCell ref="D3:F3"/>
    <x:mergeCell ref="A10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7" hidden="0" customWidth="1"/>
    <x:col min="3" max="3" width="32" hidden="0" customWidth="1"/>
    <x:col min="4" max="4" width="20" hidden="0" customWidth="1"/>
    <x:col min="5" max="5" width="24" hidden="0" customWidth="1"/>
    <x:col min="6" max="6" width="7" hidden="0" customWidth="1"/>
    <x:col min="7" max="7" width="10" hidden="0" customWidth="1"/>
    <x:col min="8" max="8" width="15" hidden="0" customWidth="1"/>
    <x:col min="9" max="9" width="20" hidden="0" customWidth="1"/>
    <x:col min="10" max="10" width="10" hidden="0" customWidth="1"/>
    <x:col min="11" max="11" width="16" hidden="0" customWidth="1"/>
    <x:col min="12" max="12" width="23" hidden="0" customWidth="1"/>
    <x:col min="13" max="13" width="18" hidden="0" customWidth="1"/>
    <x:col min="14" max="14" width="18" hidden="0" customWidth="1"/>
  </x:cols>
  <x:sheetData>
    <x:row r="1" ht="34" customHeight="1">
      <x:c r="A1" s="9" t="str">
        <x:v>Line</x:v>
      </x:c>
      <x:c r="B1" s="9" t="str">
        <x:v>Part Number</x:v>
      </x:c>
      <x:c r="C1" s="9" t="str">
        <x:v>Description</x:v>
      </x:c>
      <x:c r="D1" s="9" t="str">
        <x:v>Manufacturer</x:v>
      </x:c>
      <x:c r="E1" s="9" t="str">
        <x:v>Manufacturer Part Number</x:v>
      </x:c>
      <x:c r="F1" s="9" t="str">
        <x:v>Qty</x:v>
      </x:c>
      <x:c r="G1" s="9" t="str">
        <x:v>Revision</x:v>
      </x:c>
      <x:c r="H1" s="9" t="str">
        <x:v>Unit Cost (USD)</x:v>
      </x:c>
      <x:c r="I1" s="9" t="str">
        <x:v>Supplier</x:v>
      </x:c>
      <x:c r="J1" s="9" t="str">
        <x:v>Stock</x:v>
      </x:c>
      <x:c r="K1" s="9" t="str">
        <x:v>Lead Time (days)</x:v>
      </x:c>
      <x:c r="L1" s="9" t="str">
        <x:v>Lifecycle State</x:v>
      </x:c>
      <x:c r="M1" s="9" t="str">
        <x:v>Artifact ID</x:v>
      </x:c>
      <x:c r="N1" s="9" t="str">
        <x:v>Extended Cost (USD)</x:v>
      </x:c>
    </x:row>
    <x:row r="2" ht="22" customHeight="1">
      <x:c r="A2" s="10" t="n">
        <x:v>1</x:v>
      </x:c>
      <x:c r="B2" s="10" t="str">
        <x:v>CHS-240</x:v>
      </x:c>
      <x:c r="C2" s="10" t="str">
        <x:v>Chassis assembly</x:v>
      </x:c>
      <x:c r="D2" s="10" t="str">
        <x:v>Forma Synthetic</x:v>
      </x:c>
      <x:c r="E2" s="10" t="str">
        <x:v>FS-CHS-240</x:v>
      </x:c>
      <x:c r="F2" s="11" t="n">
        <x:v>1</x:v>
      </x:c>
      <x:c r="G2" s="10" t="str">
        <x:v>C3</x:v>
      </x:c>
      <x:c r="H2" s="12" t="n">
        <x:v>286</x:v>
      </x:c>
      <x:c r="I2" s="10" t="str">
        <x:v>Forma Fabrication</x:v>
      </x:c>
      <x:c r="J2" s="11" t="n">
        <x:v>18</x:v>
      </x:c>
      <x:c r="K2" s="11" t="n">
        <x:v>21</x:v>
      </x:c>
      <x:c r="L2" s="10" t="str">
        <x:v>Active</x:v>
      </x:c>
      <x:c r="M2" s="10" t="str">
        <x:v>chassis</x:v>
      </x:c>
      <x:c r="N2" s="12" t="n">
        <x:f>F2*H2</x:f>
        <x:v>286</x:v>
      </x:c>
    </x:row>
    <x:row r="3" ht="22" customHeight="1">
      <x:c r="A3" s="10" t="n">
        <x:v>2</x:v>
      </x:c>
      <x:c r="B3" s="10" t="str">
        <x:v>WHL-L-04</x:v>
      </x:c>
      <x:c r="C3" s="10" t="str">
        <x:v>Left wheel assembly</x:v>
      </x:c>
      <x:c r="D3" s="10" t="str">
        <x:v>Forma Synthetic</x:v>
      </x:c>
      <x:c r="E3" s="10" t="str">
        <x:v>FS-WHL-L-04</x:v>
      </x:c>
      <x:c r="F3" s="11" t="n">
        <x:v>1</x:v>
      </x:c>
      <x:c r="G3" s="10" t="str">
        <x:v>C1</x:v>
      </x:c>
      <x:c r="H3" s="12" t="n">
        <x:v>96.4</x:v>
      </x:c>
      <x:c r="I3" s="10" t="str">
        <x:v>Forma Fabrication</x:v>
      </x:c>
      <x:c r="J3" s="11" t="n">
        <x:v>22</x:v>
      </x:c>
      <x:c r="K3" s="11" t="n">
        <x:v>28</x:v>
      </x:c>
      <x:c r="L3" s="10" t="str">
        <x:v>Active</x:v>
      </x:c>
      <x:c r="M3" s="10" t="str">
        <x:v>left-wheel</x:v>
      </x:c>
      <x:c r="N3" s="12" t="n">
        <x:f>F3*H3</x:f>
        <x:v>96.4</x:v>
      </x:c>
    </x:row>
    <x:row r="4" ht="22" customHeight="1">
      <x:c r="A4" s="10" t="n">
        <x:v>3</x:v>
      </x:c>
      <x:c r="B4" s="10" t="str">
        <x:v>WHL-R-04</x:v>
      </x:c>
      <x:c r="C4" s="10" t="str">
        <x:v>Right wheel assembly</x:v>
      </x:c>
      <x:c r="D4" s="10" t="str">
        <x:v>Forma Synthetic</x:v>
      </x:c>
      <x:c r="E4" s="10" t="str">
        <x:v>FS-WHL-R-04</x:v>
      </x:c>
      <x:c r="F4" s="11" t="n">
        <x:v>1</x:v>
      </x:c>
      <x:c r="G4" s="10" t="str">
        <x:v>C1</x:v>
      </x:c>
      <x:c r="H4" s="12" t="n">
        <x:v>96.4</x:v>
      </x:c>
      <x:c r="I4" s="10" t="str">
        <x:v>Forma Fabrication</x:v>
      </x:c>
      <x:c r="J4" s="11" t="n">
        <x:v>21</x:v>
      </x:c>
      <x:c r="K4" s="11" t="n">
        <x:v>28</x:v>
      </x:c>
      <x:c r="L4" s="10" t="str">
        <x:v>Active</x:v>
      </x:c>
      <x:c r="M4" s="10" t="str">
        <x:v>right-wheel</x:v>
      </x:c>
      <x:c r="N4" s="12" t="n">
        <x:f>F4*H4</x:f>
        <x:v>96.4</x:v>
      </x:c>
    </x:row>
    <x:row r="5" ht="22" customHeight="1">
      <x:c r="A5" s="10" t="n">
        <x:v>4</x:v>
      </x:c>
      <x:c r="B5" s="10" t="str">
        <x:v>BAT-24-12</x:v>
      </x:c>
      <x:c r="C5" s="10" t="str">
        <x:v>24 V 12 Ah Li-ion battery</x:v>
      </x:c>
      <x:c r="D5" s="10" t="str">
        <x:v>Northstar Energy</x:v>
      </x:c>
      <x:c r="E5" s="10" t="str">
        <x:v>NSE-2412-C</x:v>
      </x:c>
      <x:c r="F5" s="11" t="n">
        <x:v>1</x:v>
      </x:c>
      <x:c r="G5" s="10" t="str">
        <x:v>C</x:v>
      </x:c>
      <x:c r="H5" s="12" t="n">
        <x:v>318</x:v>
      </x:c>
      <x:c r="I5" s="10" t="str">
        <x:v>Northstar Energy</x:v>
      </x:c>
      <x:c r="J5" s="11" t="n">
        <x:v>36</x:v>
      </x:c>
      <x:c r="K5" s="11" t="n">
        <x:v>35</x:v>
      </x:c>
      <x:c r="L5" s="10" t="str">
        <x:v>Active</x:v>
      </x:c>
      <x:c r="M5" s="10" t="str">
        <x:v>battery</x:v>
      </x:c>
      <x:c r="N5" s="12" t="n">
        <x:f>F5*H5</x:f>
        <x:v>318</x:v>
      </x:c>
    </x:row>
    <x:row r="6" ht="22" customHeight="1">
      <x:c r="A6" s="10" t="n">
        <x:v>5</x:v>
      </x:c>
      <x:c r="B6" s="10" t="str">
        <x:v>BAT-CAGE-03</x:v>
      </x:c>
      <x:c r="C6" s="10" t="str">
        <x:v>Battery enclosure</x:v>
      </x:c>
      <x:c r="D6" s="10" t="str">
        <x:v>Forma Synthetic</x:v>
      </x:c>
      <x:c r="E6" s="10" t="str">
        <x:v>FS-BAT-CAGE-03</x:v>
      </x:c>
      <x:c r="F6" s="11" t="n">
        <x:v>1</x:v>
      </x:c>
      <x:c r="G6" s="10" t="str">
        <x:v>C3</x:v>
      </x:c>
      <x:c r="H6" s="12" t="n">
        <x:v>42.6</x:v>
      </x:c>
      <x:c r="I6" s="10" t="str">
        <x:v>Forma Fabrication</x:v>
      </x:c>
      <x:c r="J6" s="11" t="n">
        <x:v>55</x:v>
      </x:c>
      <x:c r="K6" s="11" t="n">
        <x:v>18</x:v>
      </x:c>
      <x:c r="L6" s="10" t="str">
        <x:v>Active</x:v>
      </x:c>
      <x:c r="M6" s="10" t="str">
        <x:v>battery-enclosure</x:v>
      </x:c>
      <x:c r="N6" s="12" t="n">
        <x:f>F6*H6</x:f>
        <x:v>42.6</x:v>
      </x:c>
    </x:row>
    <x:row r="7" ht="22" customHeight="1">
      <x:c r="A7" s="10" t="n">
        <x:v>6</x:v>
      </x:c>
      <x:c r="B7" s="10" t="str">
        <x:v>MCB-C4</x:v>
      </x:c>
      <x:c r="C7" s="10" t="str">
        <x:v>Main control board</x:v>
      </x:c>
      <x:c r="D7" s="10" t="str">
        <x:v>Forma Synthetic</x:v>
      </x:c>
      <x:c r="E7" s="10" t="str">
        <x:v>FS-MCB-C4</x:v>
      </x:c>
      <x:c r="F7" s="11" t="n">
        <x:v>1</x:v>
      </x:c>
      <x:c r="G7" s="10" t="str">
        <x:v>C4</x:v>
      </x:c>
      <x:c r="H7" s="12" t="n">
        <x:v>184.3</x:v>
      </x:c>
      <x:c r="I7" s="10" t="str">
        <x:v>Forma Electronics</x:v>
      </x:c>
      <x:c r="J7" s="11" t="n">
        <x:v>27</x:v>
      </x:c>
      <x:c r="K7" s="11" t="n">
        <x:v>42</x:v>
      </x:c>
      <x:c r="L7" s="10" t="str">
        <x:v>Active</x:v>
      </x:c>
      <x:c r="M7" s="10" t="str">
        <x:v>main-board</x:v>
      </x:c>
      <x:c r="N7" s="12" t="n">
        <x:f>F7*H7</x:f>
        <x:v>184.3</x:v>
      </x:c>
    </x:row>
    <x:row r="8" ht="22" customHeight="1">
      <x:c r="A8" s="10" t="n">
        <x:v>7</x:v>
      </x:c>
      <x:c r="B8" s="10" t="str">
        <x:v>PDB-24V</x:v>
      </x:c>
      <x:c r="C8" s="10" t="str">
        <x:v>Power distribution board</x:v>
      </x:c>
      <x:c r="D8" s="10" t="str">
        <x:v>Forma Synthetic</x:v>
      </x:c>
      <x:c r="E8" s="10" t="str">
        <x:v>FS-PDB-24V-C2</x:v>
      </x:c>
      <x:c r="F8" s="11" t="n">
        <x:v>1</x:v>
      </x:c>
      <x:c r="G8" s="10" t="str">
        <x:v>C2</x:v>
      </x:c>
      <x:c r="H8" s="12" t="n">
        <x:v>72.8</x:v>
      </x:c>
      <x:c r="I8" s="10" t="str">
        <x:v>Forma Electronics</x:v>
      </x:c>
      <x:c r="J8" s="11" t="n">
        <x:v>48</x:v>
      </x:c>
      <x:c r="K8" s="11" t="n">
        <x:v>35</x:v>
      </x:c>
      <x:c r="L8" s="10" t="str">
        <x:v>Active</x:v>
      </x:c>
      <x:c r="M8" s="10" t="str">
        <x:v>power-board</x:v>
      </x:c>
      <x:c r="N8" s="12" t="n">
        <x:f>F8*H8</x:f>
        <x:v>72.8</x:v>
      </x:c>
    </x:row>
    <x:row r="9" ht="22" customHeight="1">
      <x:c r="A9" s="10" t="n">
        <x:v>8</x:v>
      </x:c>
      <x:c r="B9" s="10" t="str">
        <x:v>CAM-MNT-C</x:v>
      </x:c>
      <x:c r="C9" s="10" t="str">
        <x:v>Camera mount</x:v>
      </x:c>
      <x:c r="D9" s="10" t="str">
        <x:v>Forma Synthetic</x:v>
      </x:c>
      <x:c r="E9" s="10" t="str">
        <x:v>FS-CAM-MNT-C</x:v>
      </x:c>
      <x:c r="F9" s="11" t="n">
        <x:v>1</x:v>
      </x:c>
      <x:c r="G9" s="10" t="str">
        <x:v>C2</x:v>
      </x:c>
      <x:c r="H9" s="12" t="n">
        <x:v>64.2</x:v>
      </x:c>
      <x:c r="I9" s="10" t="str">
        <x:v>Forma Fabrication</x:v>
      </x:c>
      <x:c r="J9" s="11" t="n">
        <x:v>31</x:v>
      </x:c>
      <x:c r="K9" s="11" t="n">
        <x:v>24</x:v>
      </x:c>
      <x:c r="L9" s="10" t="str">
        <x:v>Active</x:v>
      </x:c>
      <x:c r="M9" s="10" t="str">
        <x:v>camera-mount</x:v>
      </x:c>
      <x:c r="N9" s="12" t="n">
        <x:f>F9*H9</x:f>
        <x:v>64.2</x:v>
      </x:c>
    </x:row>
    <x:row r="10" ht="22" customHeight="1">
      <x:c r="A10" s="10" t="n">
        <x:v>9</x:v>
      </x:c>
      <x:c r="B10" s="10" t="str">
        <x:v>CM-4K-R2</x:v>
      </x:c>
      <x:c r="C10" s="10" t="str">
        <x:v>4K global-shutter camera module</x:v>
      </x:c>
      <x:c r="D10" s="10" t="str">
        <x:v>Basler</x:v>
      </x:c>
      <x:c r="E10" s="10" t="str">
        <x:v>BAS-RVR-4K-R2</x:v>
      </x:c>
      <x:c r="F10" s="11" t="n">
        <x:v>1</x:v>
      </x:c>
      <x:c r="G10" s="10" t="str">
        <x:v>C</x:v>
      </x:c>
      <x:c r="H10" s="12" t="n">
        <x:v>412</x:v>
      </x:c>
      <x:c r="I10" s="10" t="str">
        <x:v>Basler</x:v>
      </x:c>
      <x:c r="J10" s="11" t="n">
        <x:v>4</x:v>
      </x:c>
      <x:c r="K10" s="11" t="n">
        <x:v>84</x:v>
      </x:c>
      <x:c r="L10" s="10" t="str">
        <x:v>Allocation</x:v>
      </x:c>
      <x:c r="M10" s="10" t="str">
        <x:v>camera-module</x:v>
      </x:c>
      <x:c r="N10" s="12" t="n">
        <x:f>F10*H10</x:f>
        <x:v>412</x:v>
      </x:c>
    </x:row>
    <x:row r="11" ht="22" customHeight="1">
      <x:c r="A11" s="10" t="n">
        <x:v>10</x:v>
      </x:c>
      <x:c r="B11" s="10" t="str">
        <x:v>LIDAR-2D-A</x:v>
      </x:c>
      <x:c r="C11" s="10" t="str">
        <x:v>2D safety lidar</x:v>
      </x:c>
      <x:c r="D11" s="10" t="str">
        <x:v>Orion Sensing</x:v>
      </x:c>
      <x:c r="E11" s="10" t="str">
        <x:v>OS-L2-A</x:v>
      </x:c>
      <x:c r="F11" s="11" t="n">
        <x:v>1</x:v>
      </x:c>
      <x:c r="G11" s="10" t="str">
        <x:v>A</x:v>
      </x:c>
      <x:c r="H11" s="12" t="n">
        <x:v>278.5</x:v>
      </x:c>
      <x:c r="I11" s="10" t="str">
        <x:v>Orion Sensing</x:v>
      </x:c>
      <x:c r="J11" s="11" t="n">
        <x:v>19</x:v>
      </x:c>
      <x:c r="K11" s="11" t="n">
        <x:v>56</x:v>
      </x:c>
      <x:c r="L11" s="10" t="str">
        <x:v>Active</x:v>
      </x:c>
      <x:c r="M11" s="10" t="str"/>
      <x:c r="N11" s="12" t="n">
        <x:f>F11*H11</x:f>
        <x:v>278.5</x:v>
      </x:c>
    </x:row>
    <x:row r="12" ht="22" customHeight="1">
      <x:c r="A12" s="10" t="n">
        <x:v>11</x:v>
      </x:c>
      <x:c r="B12" s="10" t="str">
        <x:v>MCTRL-8A</x:v>
      </x:c>
      <x:c r="C12" s="10" t="str">
        <x:v>Dual-channel motor controller</x:v>
      </x:c>
      <x:c r="D12" s="10" t="str">
        <x:v>Forma Synthetic</x:v>
      </x:c>
      <x:c r="E12" s="10" t="str">
        <x:v>FS-MCTRL-8A-C2</x:v>
      </x:c>
      <x:c r="F12" s="11" t="n">
        <x:v>1</x:v>
      </x:c>
      <x:c r="G12" s="10" t="str">
        <x:v>C2</x:v>
      </x:c>
      <x:c r="H12" s="12" t="n">
        <x:v>126.2</x:v>
      </x:c>
      <x:c r="I12" s="10" t="str">
        <x:v>Forma Electronics</x:v>
      </x:c>
      <x:c r="J12" s="11" t="n">
        <x:v>44</x:v>
      </x:c>
      <x:c r="K12" s="11" t="n">
        <x:v>35</x:v>
      </x:c>
      <x:c r="L12" s="10" t="str">
        <x:v>Active</x:v>
      </x:c>
      <x:c r="M12" s="10" t="str">
        <x:v>motor-controller</x:v>
      </x:c>
      <x:c r="N12" s="12" t="n">
        <x:f>F12*H12</x:f>
        <x:v>126.2</x:v>
      </x:c>
    </x:row>
    <x:row r="13" ht="22" customHeight="1">
      <x:c r="A13" s="10" t="n">
        <x:v>12</x:v>
      </x:c>
      <x:c r="B13" s="10" t="str">
        <x:v>ENC-2048</x:v>
      </x:c>
      <x:c r="C13" s="10" t="str">
        <x:v>2048 CPR wheel encoder</x:v>
      </x:c>
      <x:c r="D13" s="10" t="str">
        <x:v>Kestrel Motion</x:v>
      </x:c>
      <x:c r="E13" s="10" t="str">
        <x:v>KM-E2048</x:v>
      </x:c>
      <x:c r="F13" s="11" t="n">
        <x:v>2</x:v>
      </x:c>
      <x:c r="G13" s="10" t="str">
        <x:v>B</x:v>
      </x:c>
      <x:c r="H13" s="12" t="n">
        <x:v>38.7</x:v>
      </x:c>
      <x:c r="I13" s="10" t="str">
        <x:v>Kestrel Motion</x:v>
      </x:c>
      <x:c r="J13" s="11" t="n">
        <x:v>220</x:v>
      </x:c>
      <x:c r="K13" s="11" t="n">
        <x:v>21</x:v>
      </x:c>
      <x:c r="L13" s="10" t="str">
        <x:v>Active</x:v>
      </x:c>
      <x:c r="M13" s="10" t="str"/>
      <x:c r="N13" s="12" t="n">
        <x:f>F13*H13</x:f>
        <x:v>77.4</x:v>
      </x:c>
    </x:row>
    <x:row r="14" ht="22" customHeight="1">
      <x:c r="A14" s="10" t="n">
        <x:v>13</x:v>
      </x:c>
      <x:c r="B14" s="10" t="str">
        <x:v>MTR-HSG-04</x:v>
      </x:c>
      <x:c r="C14" s="10" t="str">
        <x:v>Motor housing</x:v>
      </x:c>
      <x:c r="D14" s="10" t="str">
        <x:v>Forma Synthetic</x:v>
      </x:c>
      <x:c r="E14" s="10" t="str">
        <x:v>FS-MTR-HSG-04</x:v>
      </x:c>
      <x:c r="F14" s="11" t="n">
        <x:v>2</x:v>
      </x:c>
      <x:c r="G14" s="10" t="str">
        <x:v>C1</x:v>
      </x:c>
      <x:c r="H14" s="12" t="n">
        <x:v>29.8</x:v>
      </x:c>
      <x:c r="I14" s="10" t="str">
        <x:v>Forma Fabrication</x:v>
      </x:c>
      <x:c r="J14" s="11" t="n">
        <x:v>84</x:v>
      </x:c>
      <x:c r="K14" s="11" t="n">
        <x:v>18</x:v>
      </x:c>
      <x:c r="L14" s="10" t="str">
        <x:v>Active</x:v>
      </x:c>
      <x:c r="M14" s="10" t="str">
        <x:v>motor-housing</x:v>
      </x:c>
      <x:c r="N14" s="12" t="n">
        <x:f>F14*H14</x:f>
        <x:v>59.6</x:v>
      </x:c>
    </x:row>
    <x:row r="15" ht="22" customHeight="1">
      <x:c r="A15" s="10" t="n">
        <x:v>14</x:v>
      </x:c>
      <x:c r="B15" s="10" t="str">
        <x:v>HAR-MAIN-C</x:v>
      </x:c>
      <x:c r="C15" s="10" t="str">
        <x:v>Main power harness</x:v>
      </x:c>
      <x:c r="D15" s="10" t="str">
        <x:v>Forma Synthetic</x:v>
      </x:c>
      <x:c r="E15" s="10" t="str">
        <x:v>FS-HAR-MAIN-C</x:v>
      </x:c>
      <x:c r="F15" s="11" t="n">
        <x:v>1</x:v>
      </x:c>
      <x:c r="G15" s="10" t="str">
        <x:v>C</x:v>
      </x:c>
      <x:c r="H15" s="12" t="n">
        <x:v>31.4</x:v>
      </x:c>
      <x:c r="I15" s="10" t="str">
        <x:v>Forma Harness</x:v>
      </x:c>
      <x:c r="J15" s="11" t="n">
        <x:v>63</x:v>
      </x:c>
      <x:c r="K15" s="11" t="n">
        <x:v>14</x:v>
      </x:c>
      <x:c r="L15" s="10" t="str">
        <x:v>Active</x:v>
      </x:c>
      <x:c r="M15" s="10" t="str"/>
      <x:c r="N15" s="12" t="n">
        <x:f>F15*H15</x:f>
        <x:v>31.4</x:v>
      </x:c>
    </x:row>
    <x:row r="16" ht="22" customHeight="1">
      <x:c r="A16" s="10" t="n">
        <x:v>15</x:v>
      </x:c>
      <x:c r="B16" s="10" t="str">
        <x:v>HAR-J12-C</x:v>
      </x:c>
      <x:c r="C16" s="10" t="str">
        <x:v>J12 four-circuit harness</x:v>
      </x:c>
      <x:c r="D16" s="10" t="str">
        <x:v>Forma Synthetic</x:v>
      </x:c>
      <x:c r="E16" s="10" t="str">
        <x:v>FS-HAR-J12-C</x:v>
      </x:c>
      <x:c r="F16" s="11" t="n">
        <x:v>1</x:v>
      </x:c>
      <x:c r="G16" s="10" t="str">
        <x:v>C</x:v>
      </x:c>
      <x:c r="H16" s="12" t="n">
        <x:v>18.6</x:v>
      </x:c>
      <x:c r="I16" s="10" t="str">
        <x:v>Forma Harness</x:v>
      </x:c>
      <x:c r="J16" s="11" t="n">
        <x:v>12</x:v>
      </x:c>
      <x:c r="K16" s="11" t="n">
        <x:v>21</x:v>
      </x:c>
      <x:c r="L16" s="10" t="str">
        <x:v>Active</x:v>
      </x:c>
      <x:c r="M16" s="10" t="str"/>
      <x:c r="N16" s="12" t="n">
        <x:f>F16*H16</x:f>
        <x:v>18.6</x:v>
      </x:c>
    </x:row>
    <x:row r="17" ht="22" customHeight="1">
      <x:c r="A17" s="10" t="n">
        <x:v>16</x:v>
      </x:c>
      <x:c r="B17" s="10" t="str">
        <x:v>FUSE-10A-ATO</x:v>
      </x:c>
      <x:c r="C17" s="10" t="str">
        <x:v>10 A motor branch fuse</x:v>
      </x:c>
      <x:c r="D17" s="10" t="str">
        <x:v>Northstar Components</x:v>
      </x:c>
      <x:c r="E17" s="10" t="str">
        <x:v>NSC-F10A</x:v>
      </x:c>
      <x:c r="F17" s="11" t="n">
        <x:v>2</x:v>
      </x:c>
      <x:c r="G17" s="10" t="str">
        <x:v>A</x:v>
      </x:c>
      <x:c r="H17" s="12" t="n">
        <x:v>1.1</x:v>
      </x:c>
      <x:c r="I17" s="10" t="str">
        <x:v>Northstar Components</x:v>
      </x:c>
      <x:c r="J17" s="11" t="n">
        <x:v>960</x:v>
      </x:c>
      <x:c r="K17" s="11" t="n">
        <x:v>7</x:v>
      </x:c>
      <x:c r="L17" s="10" t="str">
        <x:v>Active</x:v>
      </x:c>
      <x:c r="M17" s="10" t="str"/>
      <x:c r="N17" s="12" t="n">
        <x:f>F17*H17</x:f>
        <x:v>2.2</x:v>
      </x:c>
    </x:row>
    <x:row r="18" ht="22" customHeight="1">
      <x:c r="A18" s="10" t="n">
        <x:v>17</x:v>
      </x:c>
      <x:c r="B18" s="10" t="str">
        <x:v>WHL-TIRE-180</x:v>
      </x:c>
      <x:c r="C18" s="10" t="str">
        <x:v>180 mm traction tire</x:v>
      </x:c>
      <x:c r="D18" s="10" t="str">
        <x:v>Kestrel Motion</x:v>
      </x:c>
      <x:c r="E18" s="10" t="str">
        <x:v>KM-T180</x:v>
      </x:c>
      <x:c r="F18" s="11" t="n">
        <x:v>4</x:v>
      </x:c>
      <x:c r="G18" s="10" t="str">
        <x:v>B</x:v>
      </x:c>
      <x:c r="H18" s="12" t="n">
        <x:v>14.8</x:v>
      </x:c>
      <x:c r="I18" s="10" t="str">
        <x:v>Kestrel Motion</x:v>
      </x:c>
      <x:c r="J18" s="11" t="n">
        <x:v>146</x:v>
      </x:c>
      <x:c r="K18" s="11" t="n">
        <x:v>28</x:v>
      </x:c>
      <x:c r="L18" s="10" t="str">
        <x:v>Active</x:v>
      </x:c>
      <x:c r="M18" s="10" t="str"/>
      <x:c r="N18" s="12" t="n">
        <x:f>F18*H18</x:f>
        <x:v>59.2</x:v>
      </x:c>
    </x:row>
    <x:row r="19" ht="22" customHeight="1">
      <x:c r="A19" s="10" t="n">
        <x:v>18</x:v>
      </x:c>
      <x:c r="B19" s="10" t="str">
        <x:v>MTR-24-220</x:v>
      </x:c>
      <x:c r="C19" s="10" t="str">
        <x:v>24 V geared motor, 22 N·m</x:v>
      </x:c>
      <x:c r="D19" s="10" t="str">
        <x:v>Motion Dynamics</x:v>
      </x:c>
      <x:c r="E19" s="10" t="str">
        <x:v>MD-MTR-24-220</x:v>
      </x:c>
      <x:c r="F19" s="11" t="n">
        <x:v>2</x:v>
      </x:c>
      <x:c r="G19" s="10" t="str">
        <x:v>B</x:v>
      </x:c>
      <x:c r="H19" s="12" t="n">
        <x:v>42.1</x:v>
      </x:c>
      <x:c r="I19" s="10" t="str">
        <x:v>Motion Dynamics</x:v>
      </x:c>
      <x:c r="J19" s="11" t="n">
        <x:v>384</x:v>
      </x:c>
      <x:c r="K19" s="11" t="n">
        <x:v>28</x:v>
      </x:c>
      <x:c r="L19" s="10" t="str">
        <x:v>Active</x:v>
      </x:c>
      <x:c r="M19" s="10" t="str">
        <x:v>motor-bom</x:v>
      </x:c>
      <x:c r="N19" s="12" t="n">
        <x:f>F19*H19</x:f>
        <x:v>84.2</x:v>
      </x:c>
    </x:row>
    <x:row r="20" ht="22" customHeight="1">
      <x:c r="A20" s="10" t="n">
        <x:v>19</x:v>
      </x:c>
      <x:c r="B20" s="10" t="str">
        <x:v>GEAR-12-1</x:v>
      </x:c>
      <x:c r="C20" s="10" t="str">
        <x:v>12:1 planetary gearbox</x:v>
      </x:c>
      <x:c r="D20" s="10" t="str">
        <x:v>Motion Dynamics</x:v>
      </x:c>
      <x:c r="E20" s="10" t="str">
        <x:v>MD-G12-1</x:v>
      </x:c>
      <x:c r="F20" s="11" t="n">
        <x:v>2</x:v>
      </x:c>
      <x:c r="G20" s="10" t="str">
        <x:v>B</x:v>
      </x:c>
      <x:c r="H20" s="12" t="n">
        <x:v>54.6</x:v>
      </x:c>
      <x:c r="I20" s="10" t="str">
        <x:v>Motion Dynamics</x:v>
      </x:c>
      <x:c r="J20" s="11" t="n">
        <x:v>114</x:v>
      </x:c>
      <x:c r="K20" s="11" t="n">
        <x:v>35</x:v>
      </x:c>
      <x:c r="L20" s="10" t="str">
        <x:v>Active</x:v>
      </x:c>
      <x:c r="M20" s="10" t="str"/>
      <x:c r="N20" s="12" t="n">
        <x:f>F20*H20</x:f>
        <x:v>109.2</x:v>
      </x:c>
    </x:row>
    <x:row r="21" ht="22" customHeight="1">
      <x:c r="A21" s="10" t="n">
        <x:v>20</x:v>
      </x:c>
      <x:c r="B21" s="10" t="str">
        <x:v>BRG-608-2RS</x:v>
      </x:c>
      <x:c r="C21" s="10" t="str">
        <x:v>Sealed wheel bearing</x:v>
      </x:c>
      <x:c r="D21" s="10" t="str">
        <x:v>Northstar Components</x:v>
      </x:c>
      <x:c r="E21" s="10" t="str">
        <x:v>NSC-608-2RS</x:v>
      </x:c>
      <x:c r="F21" s="11" t="n">
        <x:v>8</x:v>
      </x:c>
      <x:c r="G21" s="10" t="str">
        <x:v>A</x:v>
      </x:c>
      <x:c r="H21" s="12" t="n">
        <x:v>3.25</x:v>
      </x:c>
      <x:c r="I21" s="10" t="str">
        <x:v>Northstar Components</x:v>
      </x:c>
      <x:c r="J21" s="11" t="n">
        <x:v>2400</x:v>
      </x:c>
      <x:c r="K21" s="11" t="n">
        <x:v>7</x:v>
      </x:c>
      <x:c r="L21" s="10" t="str">
        <x:v>Active</x:v>
      </x:c>
      <x:c r="M21" s="10" t="str"/>
      <x:c r="N21" s="12" t="n">
        <x:f>F21*H21</x:f>
        <x:v>26</x:v>
      </x:c>
    </x:row>
    <x:row r="22" ht="22" customHeight="1">
      <x:c r="A22" s="10" t="n">
        <x:v>21</x:v>
      </x:c>
      <x:c r="B22" s="10" t="str">
        <x:v>SHUNT-010</x:v>
      </x:c>
      <x:c r="C22" s="10" t="str">
        <x:v>10 mΩ current shunt</x:v>
      </x:c>
      <x:c r="D22" s="10" t="str">
        <x:v>Northstar Components</x:v>
      </x:c>
      <x:c r="E22" s="10" t="str">
        <x:v>NSC-SH010</x:v>
      </x:c>
      <x:c r="F22" s="11" t="n">
        <x:v>2</x:v>
      </x:c>
      <x:c r="G22" s="10" t="str">
        <x:v>C</x:v>
      </x:c>
      <x:c r="H22" s="12" t="n">
        <x:v>2.9</x:v>
      </x:c>
      <x:c r="I22" s="10" t="str">
        <x:v>Northstar Components</x:v>
      </x:c>
      <x:c r="J22" s="11" t="n">
        <x:v>780</x:v>
      </x:c>
      <x:c r="K22" s="11" t="n">
        <x:v>14</x:v>
      </x:c>
      <x:c r="L22" s="10" t="str">
        <x:v>Active</x:v>
      </x:c>
      <x:c r="M22" s="10" t="str"/>
      <x:c r="N22" s="12" t="n">
        <x:f>F22*H22</x:f>
        <x:v>5.8</x:v>
      </x:c>
    </x:row>
    <x:row r="23" ht="22" customHeight="1">
      <x:c r="A23" s="10" t="n">
        <x:v>22</x:v>
      </x:c>
      <x:c r="B23" s="10" t="str">
        <x:v>DRV-8A</x:v>
      </x:c>
      <x:c r="C23" s="10" t="str">
        <x:v>8 A motor driver module</x:v>
      </x:c>
      <x:c r="D23" s="10" t="str">
        <x:v>Forma Synthetic</x:v>
      </x:c>
      <x:c r="E23" s="10" t="str">
        <x:v>FS-DRV-8A</x:v>
      </x:c>
      <x:c r="F23" s="11" t="n">
        <x:v>2</x:v>
      </x:c>
      <x:c r="G23" s="10" t="str">
        <x:v>C</x:v>
      </x:c>
      <x:c r="H23" s="12" t="n">
        <x:v>18.9</x:v>
      </x:c>
      <x:c r="I23" s="10" t="str">
        <x:v>Forma Electronics</x:v>
      </x:c>
      <x:c r="J23" s="11" t="n">
        <x:v>260</x:v>
      </x:c>
      <x:c r="K23" s="11" t="n">
        <x:v>28</x:v>
      </x:c>
      <x:c r="L23" s="10" t="str">
        <x:v>Active</x:v>
      </x:c>
      <x:c r="M23" s="10" t="str">
        <x:v>motor-driver</x:v>
      </x:c>
      <x:c r="N23" s="12" t="n">
        <x:f>F23*H23</x:f>
        <x:v>37.8</x:v>
      </x:c>
    </x:row>
    <x:row r="24" ht="22" customHeight="1">
      <x:c r="A24" s="10" t="n">
        <x:v>23</x:v>
      </x:c>
      <x:c r="B24" s="10" t="str">
        <x:v>MCU-STM32H7</x:v>
      </x:c>
      <x:c r="C24" s="10" t="str">
        <x:v>Main controller MCU</x:v>
      </x:c>
      <x:c r="D24" s="10" t="str">
        <x:v>STMicroelectronics</x:v>
      </x:c>
      <x:c r="E24" s="10" t="str">
        <x:v>STM32H743ZIT6</x:v>
      </x:c>
      <x:c r="F24" s="11" t="n">
        <x:v>1</x:v>
      </x:c>
      <x:c r="G24" s="10" t="str">
        <x:v>A</x:v>
      </x:c>
      <x:c r="H24" s="12" t="n">
        <x:v>26.2</x:v>
      </x:c>
      <x:c r="I24" s="10" t="str">
        <x:v>Northstar Components</x:v>
      </x:c>
      <x:c r="J24" s="11" t="n">
        <x:v>92</x:v>
      </x:c>
      <x:c r="K24" s="11" t="n">
        <x:v>42</x:v>
      </x:c>
      <x:c r="L24" s="10" t="str">
        <x:v>Active</x:v>
      </x:c>
      <x:c r="M24" s="10" t="str"/>
      <x:c r="N24" s="12" t="n">
        <x:f>F24*H24</x:f>
        <x:v>26.2</x:v>
      </x:c>
    </x:row>
    <x:row r="25" ht="22" customHeight="1">
      <x:c r="A25" s="10" t="n">
        <x:v>24</x:v>
      </x:c>
      <x:c r="B25" s="10" t="str">
        <x:v>IMU-6AX-C</x:v>
      </x:c>
      <x:c r="C25" s="10" t="str">
        <x:v>Six-axis IMU module</x:v>
      </x:c>
      <x:c r="D25" s="10" t="str">
        <x:v>Orion Sensing</x:v>
      </x:c>
      <x:c r="E25" s="10" t="str">
        <x:v>OS-IMU6-C</x:v>
      </x:c>
      <x:c r="F25" s="11" t="n">
        <x:v>1</x:v>
      </x:c>
      <x:c r="G25" s="10" t="str">
        <x:v>C</x:v>
      </x:c>
      <x:c r="H25" s="12" t="n">
        <x:v>34.7</x:v>
      </x:c>
      <x:c r="I25" s="10" t="str">
        <x:v>Orion Sensing</x:v>
      </x:c>
      <x:c r="J25" s="11" t="n">
        <x:v>75</x:v>
      </x:c>
      <x:c r="K25" s="11" t="n">
        <x:v>35</x:v>
      </x:c>
      <x:c r="L25" s="10" t="str">
        <x:v>Active</x:v>
      </x:c>
      <x:c r="M25" s="10" t="str"/>
      <x:c r="N25" s="12" t="n">
        <x:f>F25*H25</x:f>
        <x:v>34.7</x:v>
      </x:c>
    </x:row>
    <x:row r="26" ht="22" customHeight="1">
      <x:c r="A26" s="10" t="n">
        <x:v>25</x:v>
      </x:c>
      <x:c r="B26" s="10" t="str">
        <x:v>DCDC-24-5-10A</x:v>
      </x:c>
      <x:c r="C26" s="10" t="str">
        <x:v>24 V to 5 V converter</x:v>
      </x:c>
      <x:c r="D26" s="10" t="str">
        <x:v>Northstar Power</x:v>
      </x:c>
      <x:c r="E26" s="10" t="str">
        <x:v>NSP-D24510</x:v>
      </x:c>
      <x:c r="F26" s="11" t="n">
        <x:v>1</x:v>
      </x:c>
      <x:c r="G26" s="10" t="str">
        <x:v>B</x:v>
      </x:c>
      <x:c r="H26" s="12" t="n">
        <x:v>46.5</x:v>
      </x:c>
      <x:c r="I26" s="10" t="str">
        <x:v>Northstar Power</x:v>
      </x:c>
      <x:c r="J26" s="11" t="n">
        <x:v>38</x:v>
      </x:c>
      <x:c r="K26" s="11" t="n">
        <x:v>28</x:v>
      </x:c>
      <x:c r="L26" s="10" t="str">
        <x:v>Active</x:v>
      </x:c>
      <x:c r="M26" s="10" t="str"/>
      <x:c r="N26" s="12" t="n">
        <x:f>F26*H26</x:f>
        <x:v>46.5</x:v>
      </x:c>
    </x:row>
    <x:row r="27" ht="22" customHeight="1">
      <x:c r="A27" s="10" t="n">
        <x:v>26</x:v>
      </x:c>
      <x:c r="B27" s="10" t="str">
        <x:v>ESTOP-24V</x:v>
      </x:c>
      <x:c r="C27" s="10" t="str">
        <x:v>24 V emergency-stop switch</x:v>
      </x:c>
      <x:c r="D27" s="10" t="str">
        <x:v>Kestrel Controls</x:v>
      </x:c>
      <x:c r="E27" s="10" t="str">
        <x:v>KC-ESTOP24</x:v>
      </x:c>
      <x:c r="F27" s="11" t="n">
        <x:v>1</x:v>
      </x:c>
      <x:c r="G27" s="10" t="str">
        <x:v>B</x:v>
      </x:c>
      <x:c r="H27" s="12" t="n">
        <x:v>22.4</x:v>
      </x:c>
      <x:c r="I27" s="10" t="str">
        <x:v>Kestrel Controls</x:v>
      </x:c>
      <x:c r="J27" s="11" t="n">
        <x:v>67</x:v>
      </x:c>
      <x:c r="K27" s="11" t="n">
        <x:v>21</x:v>
      </x:c>
      <x:c r="L27" s="10" t="str">
        <x:v>Active</x:v>
      </x:c>
      <x:c r="M27" s="10" t="str"/>
      <x:c r="N27" s="12" t="n">
        <x:f>F27*H27</x:f>
        <x:v>22.4</x:v>
      </x:c>
    </x:row>
    <x:row r="28" ht="22" customHeight="1">
      <x:c r="A28" s="10" t="n">
        <x:v>27</x:v>
      </x:c>
      <x:c r="B28" s="10" t="str">
        <x:v>43025-0400</x:v>
      </x:c>
      <x:c r="C28" s="10" t="str">
        <x:v>J12 Micro-Fit 3.0 four-circuit connector</x:v>
      </x:c>
      <x:c r="D28" s="10" t="str">
        <x:v>Molex</x:v>
      </x:c>
      <x:c r="E28" s="10" t="str">
        <x:v>43025-0400</x:v>
      </x:c>
      <x:c r="F28" s="11" t="n">
        <x:v>1</x:v>
      </x:c>
      <x:c r="G28" s="10" t="str">
        <x:v>C</x:v>
      </x:c>
      <x:c r="H28" s="12" t="n">
        <x:v>0.84</x:v>
      </x:c>
      <x:c r="I28" s="10" t="str">
        <x:v>Molex</x:v>
      </x:c>
      <x:c r="J28" s="11" t="n">
        <x:v>1248</x:v>
      </x:c>
      <x:c r="K28" s="11" t="n">
        <x:v>14</x:v>
      </x:c>
      <x:c r="L28" s="10" t="str">
        <x:v>Low / allocated</x:v>
      </x:c>
      <x:c r="M28" s="10" t="str">
        <x:v>j12-bom</x:v>
      </x:c>
      <x:c r="N28" s="12" t="n">
        <x:f>F28*H28</x:f>
        <x:v>0.84</x:v>
      </x:c>
    </x:row>
    <x:row r="29" ht="22" customHeight="1">
      <x:c r="A29" s="10" t="n">
        <x:v>28</x:v>
      </x:c>
      <x:c r="B29" s="10" t="str">
        <x:v>J12-HDR-C</x:v>
      </x:c>
      <x:c r="C29" s="10" t="str">
        <x:v>J12 right-angle mating header</x:v>
      </x:c>
      <x:c r="D29" s="10" t="str">
        <x:v>Molex</x:v>
      </x:c>
      <x:c r="E29" s="10" t="str">
        <x:v>SYN-43045-0400-DEMO</x:v>
      </x:c>
      <x:c r="F29" s="11" t="n">
        <x:v>1</x:v>
      </x:c>
      <x:c r="G29" s="10" t="str">
        <x:v>C</x:v>
      </x:c>
      <x:c r="H29" s="12" t="n">
        <x:v>1.36</x:v>
      </x:c>
      <x:c r="I29" s="10" t="str">
        <x:v>Molex</x:v>
      </x:c>
      <x:c r="J29" s="11" t="n">
        <x:v>840</x:v>
      </x:c>
      <x:c r="K29" s="11" t="n">
        <x:v>21</x:v>
      </x:c>
      <x:c r="L29" s="10" t="str">
        <x:v>Synthetic cross-reference</x:v>
      </x:c>
      <x:c r="M29" s="10" t="str"/>
      <x:c r="N29" s="12" t="n">
        <x:f>F29*H29</x:f>
        <x:v>1.36</x:v>
      </x:c>
    </x:row>
    <x:row r="30" ht="22" customHeight="1">
      <x:c r="A30" s="10" t="n">
        <x:v>29</x:v>
      </x:c>
      <x:c r="B30" s="10" t="str">
        <x:v>QA-LABEL-C</x:v>
      </x:c>
      <x:c r="C30" s="10" t="str">
        <x:v>Rev C serialized QA label</x:v>
      </x:c>
      <x:c r="D30" s="10" t="str">
        <x:v>Forma Synthetic</x:v>
      </x:c>
      <x:c r="E30" s="10" t="str">
        <x:v>FS-QA-LABEL-C</x:v>
      </x:c>
      <x:c r="F30" s="11" t="n">
        <x:v>1</x:v>
      </x:c>
      <x:c r="G30" s="10" t="str">
        <x:v>C</x:v>
      </x:c>
      <x:c r="H30" s="12" t="n">
        <x:v>0.22</x:v>
      </x:c>
      <x:c r="I30" s="10" t="str">
        <x:v>Forma Fabrication</x:v>
      </x:c>
      <x:c r="J30" s="11" t="n">
        <x:v>4800</x:v>
      </x:c>
      <x:c r="K30" s="11" t="n">
        <x:v>5</x:v>
      </x:c>
      <x:c r="L30" s="10" t="str">
        <x:v>Active</x:v>
      </x:c>
      <x:c r="M30" s="10" t="str"/>
      <x:c r="N30" s="12" t="n">
        <x:f>F30*H30</x:f>
        <x:v>0.22</x:v>
      </x:c>
    </x:row>
    <x:row r="31" ht="22" customHeight="1">
      <x:c r="A31" s="13" t="n">
        <x:v>30</x:v>
      </x:c>
      <x:c r="B31" s="13" t="str">
        <x:v>FAST-KIT-C</x:v>
      </x:c>
      <x:c r="C31" s="13" t="str">
        <x:v>Rev C chassis fastener kit</x:v>
      </x:c>
      <x:c r="D31" s="13" t="str">
        <x:v>Forma Synthetic</x:v>
      </x:c>
      <x:c r="E31" s="13" t="str">
        <x:v>FS-FAST-KIT-C</x:v>
      </x:c>
      <x:c r="F31" s="14" t="n">
        <x:v>1</x:v>
      </x:c>
      <x:c r="G31" s="13" t="str">
        <x:v>C</x:v>
      </x:c>
      <x:c r="H31" s="15" t="n">
        <x:v>12.8</x:v>
      </x:c>
      <x:c r="I31" s="13" t="str">
        <x:v>Forma Fabrication</x:v>
      </x:c>
      <x:c r="J31" s="14" t="n">
        <x:v>130</x:v>
      </x:c>
      <x:c r="K31" s="14" t="n">
        <x:v>14</x:v>
      </x:c>
      <x:c r="L31" s="13" t="str">
        <x:v>Active</x:v>
      </x:c>
      <x:c r="M31" s="13" t="str"/>
      <x:c r="N31" s="15" t="n">
        <x:f>F31*H31</x:f>
        <x:v>12.8</x:v>
      </x:c>
    </x:row>
  </x:sheetData>
  <x:conditionalFormatting sqref="J2:J31">
    <x:cfRule type="cellIs" dxfId="0" priority="1" operator="lessThanOrEqual">
      <x:formula>10</x:formula>
    </x:cfRule>
    <x:cfRule type="cellIs" dxfId="1" priority="2" operator="between">
      <x:formula>11</x:formula>
      <x:formula>50</x:formula>
    </x:cfRule>
  </x:conditionalFormatting>
  <x:conditionalFormatting sqref="K2:K31">
    <x:cfRule type="cellIs" dxfId="2" priority="3" operator="greaterThanOrEqual">
      <x:formula>56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c696843198345f9"/>
  </x:tableParts>
</x:worksheet>
</file>